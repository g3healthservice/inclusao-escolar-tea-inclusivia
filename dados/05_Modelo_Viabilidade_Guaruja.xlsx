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Parametros" sheetId="1" state="visible" r:id="rId3"/>
    <sheet name="2. Dimensionamento" sheetId="2" state="visible" r:id="rId4"/>
    <sheet name="3. Plataforma" sheetId="3" state="visible" r:id="rId5"/>
    <sheet name="4. Cuidado clinico" sheetId="4" state="visible" r:id="rId6"/>
    <sheet name="5. Consolidado" sheetId="5" state="visible" r:id="rId7"/>
    <sheet name="6. Canabidiol" sheetId="6" state="visible" r:id="rId8"/>
    <sheet name="7. Fon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<sst xmlns="http://schemas.openxmlformats.org/spreadsheetml/2006/main" count="280" uniqueCount="243">
  <si>
    <t xml:space="preserve">MODELO DE VIABILIDADE — PLATAFORMA DE INCLUSÃO ESCOLAR E CUIDADO CLÍNICO</t>
  </si>
  <si>
    <t xml:space="preserve">Município de referência: Guarujá/SP (IBGE 3518701)</t>
  </si>
  <si>
    <t xml:space="preserve">LEGENDA: células AMARELAS com texto AZUL são os parâmetros editáveis. Células pretas são fórmulas — não editar.</t>
  </si>
  <si>
    <t xml:space="preserve">Elaboração: G3 Health Service Ltda. — CNPJ 31.652.744/0001-14. Data-base: setembro de 2026.</t>
  </si>
  <si>
    <t xml:space="preserve">A. POPULAÇÃO-ALVO — CENSO 2022 (dado oficial, não editar)</t>
  </si>
  <si>
    <t xml:space="preserve">Faixa etária</t>
  </si>
  <si>
    <t xml:space="preserve">Pessoas com TEA em Guarujá</t>
  </si>
  <si>
    <t xml:space="preserve">Fonte</t>
  </si>
  <si>
    <t xml:space="preserve">0 a 4 anos</t>
  </si>
  <si>
    <t xml:space="preserve">IBGE, SIDRA 10145, var. 13267 — Censo 2022</t>
  </si>
  <si>
    <t xml:space="preserve">5 a 9 anos</t>
  </si>
  <si>
    <t xml:space="preserve">10 a 14 anos</t>
  </si>
  <si>
    <t xml:space="preserve">15 a 19 anos</t>
  </si>
  <si>
    <t xml:space="preserve">Total 0 a 19 anos</t>
  </si>
  <si>
    <t xml:space="preserve">B. RECORTES ETÁRIOS ESTIMADOS (distribuição uniforme dentro da faixa)</t>
  </si>
  <si>
    <t xml:space="preserve">Recorte</t>
  </si>
  <si>
    <t xml:space="preserve">Fórmula aplicada</t>
  </si>
  <si>
    <t xml:space="preserve">Pessoas com TEA</t>
  </si>
  <si>
    <t xml:space="preserve">4 a 18 anos (idade escolar ampla)</t>
  </si>
  <si>
    <t xml:space="preserve">1/5 da faixa 0-4 + 5-9 + 10-14 + 4/5 da faixa 15-19</t>
  </si>
  <si>
    <t xml:space="preserve">6 a 14 anos (Ensino Fundamental I e II)</t>
  </si>
  <si>
    <t xml:space="preserve">4/5 da faixa 5-9 + 10-14</t>
  </si>
  <si>
    <t xml:space="preserve">C. PARÂMETROS DE COBERTURA (editáveis)</t>
  </si>
  <si>
    <t xml:space="preserve">Parâmetro</t>
  </si>
  <si>
    <t xml:space="preserve">Valor</t>
  </si>
  <si>
    <t xml:space="preserve">Observação</t>
  </si>
  <si>
    <t xml:space="preserve">% do público em rede pública municipal</t>
  </si>
  <si>
    <t xml:space="preserve">A confirmar no Censo Escolar. Redes municipais de SP costumam concentrar EF I; EF II é frequentemente estadual.</t>
  </si>
  <si>
    <t xml:space="preserve">Fator de ampliação para demais públicos do AEE</t>
  </si>
  <si>
    <t xml:space="preserve">TEA é apenas parte do público-alvo da educação especial. Fator 1,0 = só TEA. Calibrar pelo Censo Escolar local.</t>
  </si>
  <si>
    <t xml:space="preserve">Taxa de adesão efetiva ao programa</t>
  </si>
  <si>
    <t xml:space="preserve">Nem todo elegível adere. Considera recusa familiar e perda de seguimento.</t>
  </si>
  <si>
    <t xml:space="preserve">% do público que recebe o pacote clínico</t>
  </si>
  <si>
    <t xml:space="preserve">Parâmetro de política. Nem todo aluno com PEI demanda acompanhamento clínico intensivo.</t>
  </si>
  <si>
    <t xml:space="preserve">D. ESTRUTURA DA REDE (editáveis — confirmar no Censo Escolar)</t>
  </si>
  <si>
    <t xml:space="preserve">Unidades escolares da rede municipal</t>
  </si>
  <si>
    <t xml:space="preserve">A CONFIRMAR. Valor provisório para fins de modelagem.</t>
  </si>
  <si>
    <t xml:space="preserve">Profissionais da educação a capacitar</t>
  </si>
  <si>
    <t xml:space="preserve">A CONFIRMAR. Professores regentes, AEE, coordenação e gestão.</t>
  </si>
  <si>
    <t xml:space="preserve">Profissionais de saúde com acesso ao módulo</t>
  </si>
  <si>
    <t xml:space="preserve">A CONFIRMAR. Rede municipal e conveniada que atende o público-alvo.</t>
  </si>
  <si>
    <t xml:space="preserve">Participantes por turma de formação</t>
  </si>
  <si>
    <t xml:space="preserve">Limite pedagógico usual e adotado na ARP 045/2026 do CIMINAS.</t>
  </si>
  <si>
    <t xml:space="preserve">Horas de supervisão de casos por mês</t>
  </si>
  <si>
    <t xml:space="preserve">Equipe multiprofissional. Dimensionar pelo número de casos complexos.</t>
  </si>
  <si>
    <t xml:space="preserve">E. FONTES E ÂNCORAS DE PREÇO PÚBLICO</t>
  </si>
  <si>
    <t xml:space="preserve">Referência</t>
  </si>
  <si>
    <t xml:space="preserve">Origem</t>
  </si>
  <si>
    <t xml:space="preserve">Licença de plataforma de avaliação — aluno/ano</t>
  </si>
  <si>
    <t xml:space="preserve">ARP 045/2026, CIMINAS, Item 1. Concorrência Eletrônica 004/2026.</t>
  </si>
  <si>
    <t xml:space="preserve">Implantação por unidade educacional</t>
  </si>
  <si>
    <t xml:space="preserve">ARP 045/2026, CIMINAS, Item 2.</t>
  </si>
  <si>
    <t xml:space="preserve">Formação — turma de até 20 profissionais</t>
  </si>
  <si>
    <t xml:space="preserve">ARP 045/2026, CIMINAS, Item 3.</t>
  </si>
  <si>
    <t xml:space="preserve">Locação de laboratório itinerante</t>
  </si>
  <si>
    <t xml:space="preserve">ARP 045/2026, CIMINAS, Item 4.</t>
  </si>
  <si>
    <t xml:space="preserve">Solução de AEE consorciada — valor global</t>
  </si>
  <si>
    <t xml:space="preserve">CIMPAR, Pregão Eletrônico 07/2026, homologado 16/07/2026. Vencedora: Cognvox.</t>
  </si>
  <si>
    <t xml:space="preserve">Sistema de gestão escolar municipal — rede inteira/ano</t>
  </si>
  <si>
    <t xml:space="preserve">Chorozinho/CE, processo 001-005/2026-AD-SEDUC, 12 meses.</t>
  </si>
  <si>
    <t xml:space="preserve">Licença privada de gestão de PEI — aluno/ano (inferido)</t>
  </si>
  <si>
    <t xml:space="preserve">IncludED, plano intermediário no teto de 20 alunos. Cálculo aritmético, não preço publicado.</t>
  </si>
  <si>
    <t xml:space="preserve">DIMENSIONAMENTO DO PÚBLICO — GUARUJÁ/SP</t>
  </si>
  <si>
    <t xml:space="preserve">Todos os valores derivam da aba 1. Alterar os parâmetros lá, não aqui.</t>
  </si>
  <si>
    <t xml:space="preserve">Etapa do dimensionamento</t>
  </si>
  <si>
    <t xml:space="preserve">Cálculo</t>
  </si>
  <si>
    <t xml:space="preserve">Alunos</t>
  </si>
  <si>
    <t xml:space="preserve">Pessoas com TEA de 4 a 18 anos (Censo 2022)</t>
  </si>
  <si>
    <t xml:space="preserve">Base populacional oficial</t>
  </si>
  <si>
    <t xml:space="preserve">Em rede pública municipal</t>
  </si>
  <si>
    <t xml:space="preserve">Aplicado o percentual de rede</t>
  </si>
  <si>
    <t xml:space="preserve">Ampliado para o público-alvo do AEE</t>
  </si>
  <si>
    <t xml:space="preserve">Inclui demais deficiências, TGD e altas habilidades</t>
  </si>
  <si>
    <t xml:space="preserve">Com adesão efetiva ao programa</t>
  </si>
  <si>
    <t xml:space="preserve">PÚBLICO ATENDIDO PELA PLATAFORMA</t>
  </si>
  <si>
    <t xml:space="preserve">RECORTES COMPLEMENTARES</t>
  </si>
  <si>
    <t xml:space="preserve">Público de Ensino Fundamental I e II (6 a 14 anos)</t>
  </si>
  <si>
    <t xml:space="preserve">Escopo da ARP 045/2026</t>
  </si>
  <si>
    <t xml:space="preserve">Público que recebe o pacote clínico</t>
  </si>
  <si>
    <t xml:space="preserve">Aplica o percentual clínico da aba 1</t>
  </si>
  <si>
    <t xml:space="preserve">CONTEXTO ESTADUAL — CENSO 2022 (referência, não editar)</t>
  </si>
  <si>
    <t xml:space="preserve">Guarujá — 0 a 19 anos</t>
  </si>
  <si>
    <t xml:space="preserve">Município de referência deste estudo</t>
  </si>
  <si>
    <t xml:space="preserve">Estado de São Paulo — 0 a 19 anos</t>
  </si>
  <si>
    <t xml:space="preserve">645 municípios</t>
  </si>
  <si>
    <t xml:space="preserve">Brasil — 0 a 19 anos</t>
  </si>
  <si>
    <t xml:space="preserve">5.570 municípios</t>
  </si>
  <si>
    <t xml:space="preserve">CUSTO ANUAL DA SOLUÇÃO TECNOLÓGICA E DOS SERVIÇOS HABILITADORES</t>
  </si>
  <si>
    <t xml:space="preserve">Preços unitários em AMARELO são propostos e devem ser validados por pesquisa de preços (art. 23 da Lei 14.133/2021).</t>
  </si>
  <si>
    <t xml:space="preserve">Item</t>
  </si>
  <si>
    <t xml:space="preserve">Unidade</t>
  </si>
  <si>
    <t xml:space="preserve">Quantidade</t>
  </si>
  <si>
    <t xml:space="preserve">Preço unitário (R$)</t>
  </si>
  <si>
    <t xml:space="preserve">Total anual (R$)</t>
  </si>
  <si>
    <t xml:space="preserve">Âncora de preço</t>
  </si>
  <si>
    <t xml:space="preserve">Licença — Módulo Escola (governança e gestão de PEI)</t>
  </si>
  <si>
    <t xml:space="preserve">Unid. escolar/ano</t>
  </si>
  <si>
    <t xml:space="preserve">Proposto. Sem referência pública direta; calibrar por pesquisa de preços.</t>
  </si>
  <si>
    <t xml:space="preserve">Licença — por educando com PEI ativo</t>
  </si>
  <si>
    <t xml:space="preserve">Aluno/ano</t>
  </si>
  <si>
    <t xml:space="preserve">Entre R$ 189 (privado, inferido) e R$ 750,97 (ARP 045/2026).</t>
  </si>
  <si>
    <t xml:space="preserve">Licença — Módulo Saúde</t>
  </si>
  <si>
    <t xml:space="preserve">Profissional/ano</t>
  </si>
  <si>
    <t xml:space="preserve">Proposto. Materializa a Lei 14.254/2021.</t>
  </si>
  <si>
    <t xml:space="preserve">Licença — Módulo Família</t>
  </si>
  <si>
    <t xml:space="preserve">Família/ano</t>
  </si>
  <si>
    <t xml:space="preserve">Proposto. Fator 0,9 por irmandade. Pode ser ofertado incluso.</t>
  </si>
  <si>
    <t xml:space="preserve">Painel de governança da Secretaria</t>
  </si>
  <si>
    <t xml:space="preserve">Licença/ano</t>
  </si>
  <si>
    <t xml:space="preserve">Proposto.</t>
  </si>
  <si>
    <t xml:space="preserve">Implantação e parametrização</t>
  </si>
  <si>
    <t xml:space="preserve">Serviço/unidade</t>
  </si>
  <si>
    <t xml:space="preserve">ARP 045/2026, CIMINAS, Item 2 — referência pública direta.</t>
  </si>
  <si>
    <t xml:space="preserve">Migração e integração com sistemas legados</t>
  </si>
  <si>
    <t xml:space="preserve">Serviço/ponto</t>
  </si>
  <si>
    <t xml:space="preserve">Proposto. Educacenso/INEP, gestão escolar, sistemas de saúde.</t>
  </si>
  <si>
    <t xml:space="preserve">Formação continuada de profissionais</t>
  </si>
  <si>
    <t xml:space="preserve">Turma de até 20</t>
  </si>
  <si>
    <t xml:space="preserve">ARP 045/2026, CIMINAS, Item 3 — referência pública direta.</t>
  </si>
  <si>
    <t xml:space="preserve">Supervisão e mentoria multiprofissional</t>
  </si>
  <si>
    <t xml:space="preserve">Hora técnica</t>
  </si>
  <si>
    <t xml:space="preserve">Proposto. Equipe com neuropediatra, TO e psicopedagogo.</t>
  </si>
  <si>
    <t xml:space="preserve">Suporte técnico, sustentação e evolução</t>
  </si>
  <si>
    <t xml:space="preserve">Mês</t>
  </si>
  <si>
    <t xml:space="preserve">Proposto. Aproximadamente 12% do licenciamento anual.</t>
  </si>
  <si>
    <t xml:space="preserve">TOTAL ANUAL — PLATAFORMA E SERVIÇOS</t>
  </si>
  <si>
    <t xml:space="preserve">Custo por aluno atendido (R$/ano)</t>
  </si>
  <si>
    <t xml:space="preserve">MÓDULO OPCIONAL — AVALIAÇÃO PEDAGÓGICA GAMIFICADA (escopo da ARP 045/2026)</t>
  </si>
  <si>
    <t xml:space="preserve">Licença de plataforma de avaliação gamificada</t>
  </si>
  <si>
    <t xml:space="preserve">ARP 045/2026, CIMINAS, Item 1 — referência pública direta.</t>
  </si>
  <si>
    <t xml:space="preserve">Serviço</t>
  </si>
  <si>
    <t xml:space="preserve">ARP 045/2026, CIMINAS, Item 4. Um laboratório para cada 4 unidades.</t>
  </si>
  <si>
    <t xml:space="preserve">TOTAL ANUAL — MÓDULO DE AVALIAÇÃO</t>
  </si>
  <si>
    <t xml:space="preserve">CUSTO ANUAL DO CUIDADO CLÍNICO</t>
  </si>
  <si>
    <t xml:space="preserve">Valores unitários conforme tabela do contratante. Quantidades de fono, psicologia e psicopedagogia elevadas a 12 por ano a pedido do contratante.</t>
  </si>
  <si>
    <t xml:space="preserve">A. CUSTO POR ALUNO/ANO — PACOTE DE ATENDIMENTO PROFISSIONAL</t>
  </si>
  <si>
    <t xml:space="preserve">Valor por consulta (R$)</t>
  </si>
  <si>
    <t xml:space="preserve">Quantidade por ano</t>
  </si>
  <si>
    <t xml:space="preserve">Total por aluno/ano (R$)</t>
  </si>
  <si>
    <t xml:space="preserve">Observação técnica</t>
  </si>
  <si>
    <t xml:space="preserve">Consulta com neurologista</t>
  </si>
  <si>
    <t xml:space="preserve">Presencial ou teleconsulta.</t>
  </si>
  <si>
    <t xml:space="preserve">Consulta com psiquiatra</t>
  </si>
  <si>
    <t xml:space="preserve">Fonoaudiologia</t>
  </si>
  <si>
    <t xml:space="preserve">12 sessões por ano equivalem a uma por mês. Referências clínicas para TEA frequentemente trabalham com periodicidade quinzenal ou semanal nas fases iniciais.</t>
  </si>
  <si>
    <t xml:space="preserve">Psicologia</t>
  </si>
  <si>
    <t xml:space="preserve">Uma sessão por mês. Intervenções comportamentais estruturadas costumam exigir periodicidade maior nas fases iniciais.</t>
  </si>
  <si>
    <t xml:space="preserve">Psicopedagogia</t>
  </si>
  <si>
    <t xml:space="preserve">Uma sessão por mês.</t>
  </si>
  <si>
    <t xml:space="preserve">TOTAL POR ALUNO/ANO</t>
  </si>
  <si>
    <t xml:space="preserve">Nota: medicação não integra este modelo. Ver aba 6.</t>
  </si>
  <si>
    <t xml:space="preserve">B. CUSTO AGREGADO PARA A REDE DE GUARUJÁ</t>
  </si>
  <si>
    <t xml:space="preserve">Componente</t>
  </si>
  <si>
    <t xml:space="preserve">Custo por aluno/ano (R$)</t>
  </si>
  <si>
    <t xml:space="preserve">Atendimento profissional</t>
  </si>
  <si>
    <t xml:space="preserve">Aplica o percentual clínico definido na aba 1.</t>
  </si>
  <si>
    <t xml:space="preserve">TOTAL ANUAL — CUIDADO CLÍNICO</t>
  </si>
  <si>
    <t xml:space="preserve">CONSOLIDAÇÃO E CENÁRIOS — GUARUJÁ/SP</t>
  </si>
  <si>
    <t xml:space="preserve">Bloco</t>
  </si>
  <si>
    <t xml:space="preserve">% do programa</t>
  </si>
  <si>
    <t xml:space="preserve">Por aluno atendido (R$/ano)</t>
  </si>
  <si>
    <t xml:space="preserve">Plataforma, implantação, formação e suporte</t>
  </si>
  <si>
    <t xml:space="preserve">Módulo opcional de avaliação gamificada</t>
  </si>
  <si>
    <t xml:space="preserve">Cuidado clínico — atendimento profissional</t>
  </si>
  <si>
    <t xml:space="preserve">TOTAL DO PROGRAMA INTEGRAL</t>
  </si>
  <si>
    <t xml:space="preserve">CENÁRIOS DE ESCOPO</t>
  </si>
  <si>
    <t xml:space="preserve">Cenário</t>
  </si>
  <si>
    <t xml:space="preserve">Composição</t>
  </si>
  <si>
    <t xml:space="preserve">Por aluno (R$/ano)</t>
  </si>
  <si>
    <t xml:space="preserve">A — Coordenação</t>
  </si>
  <si>
    <t xml:space="preserve">Somente plataforma de PEI, implantação, formação e suporte. Sem avaliação gamificada, sem cuidado clínico.</t>
  </si>
  <si>
    <t xml:space="preserve">B — Coordenação e avaliação</t>
  </si>
  <si>
    <t xml:space="preserve">Cenário A mais o módulo de avaliação gamificada e laboratórios.</t>
  </si>
  <si>
    <t xml:space="preserve">C — Programa integral (recomendado)</t>
  </si>
  <si>
    <t xml:space="preserve">Cenário B mais o atendimento clínico profissional. É o desenho recomendado.</t>
  </si>
  <si>
    <t xml:space="preserve">CONTRATO DE 5 ANOS (serviço contínuo, arts. 106 e 107 da Lei 14.133/2021)</t>
  </si>
  <si>
    <t xml:space="preserve">Ano 1</t>
  </si>
  <si>
    <t xml:space="preserve">Anos 2 a 5 (cada)</t>
  </si>
  <si>
    <t xml:space="preserve">Total 5 anos</t>
  </si>
  <si>
    <t xml:space="preserve">Nos anos 2 a 5 excluem-se implantação e integração, que são despesas não recorrentes. Valores a preços de 2026, sem reajuste.</t>
  </si>
  <si>
    <t xml:space="preserve">ANEXO — POR QUE A MEDICAÇÃO NÃO INTEGRA ESTE MODELO</t>
  </si>
  <si>
    <t xml:space="preserve">A rubrica de canabidiol foi retirada da equação. Esta aba registra a fundamentação técnica e jurídica da exclusão.</t>
  </si>
  <si>
    <t xml:space="preserve">Aspecto</t>
  </si>
  <si>
    <t xml:space="preserve">Situação</t>
  </si>
  <si>
    <t xml:space="preserve">Incorporação ao SUS para TEA</t>
  </si>
  <si>
    <t xml:space="preserve">NÃO INCORPORADO. O canabidiol não integra nenhuma lista oficial de medicamentos do SUS para transtorno do espectro autista.</t>
  </si>
  <si>
    <t xml:space="preserve">Notas técnicas NatJus/TJDFT e NAT/TRF2</t>
  </si>
  <si>
    <t xml:space="preserve">Avaliação pela CONITEC</t>
  </si>
  <si>
    <t xml:space="preserve">Avaliado para epilepsia refratária pediátrica, com recomendação DESFAVORÁVEL. A não incorporação foi formalizada pela Portaria SCTIE/MS nº 25, de 28/05/2021. Para TEA, análise de 2022 identificou um ensaio clínico e nove estudos observacionais e concluiu que os estudos são limitados para recomendar uso clínico.</t>
  </si>
  <si>
    <t xml:space="preserve">Portaria SCTIE/MS nº 25/2021; nota técnica NatJus</t>
  </si>
  <si>
    <t xml:space="preserve">Registro na ANVISA</t>
  </si>
  <si>
    <t xml:space="preserve">Os produtos usualmente prescritos são importados e NÃO POSSUEM REGISTRO na ANVISA. Não há preço CMED, o que impede a formação de preço de referência pelos mecanismos usuais.</t>
  </si>
  <si>
    <t xml:space="preserve">Notas técnicas NatJus/TJDFT</t>
  </si>
  <si>
    <t xml:space="preserve">Via de acesso</t>
  </si>
  <si>
    <t xml:space="preserve">Importação por pessoa física mediante autorização da ANVISA, nos termos da RDC nº 660/2022. A RDC nº 327 foi revisada em 28/01/2026; a via excepcional permanece, mas passou a ser tratada como transitória e sujeita a exigência reforçada de justificativa clínica.</t>
  </si>
  <si>
    <t xml:space="preserve">RDC ANVISA 660/2022; revisão da RDC 327 em 28/01/2026</t>
  </si>
  <si>
    <t xml:space="preserve">Prescrição médica</t>
  </si>
  <si>
    <t xml:space="preserve">A Resolução CFM nº 2.324/2022 autoriza a prescrição de canabidiol apenas para epilepsias da infância e adolescência refratárias — síndromes de Dravet, de Lennox-Gastaut e complexo de esclerose tuberosa — e veda a prescrição para indicações diversas. O TEA NÃO figura entre as indicações autorizadas.</t>
  </si>
  <si>
    <t xml:space="preserve">Resolução CFM nº 2.324/2022</t>
  </si>
  <si>
    <t xml:space="preserve">Estado da evidência</t>
  </si>
  <si>
    <t xml:space="preserve">Certeza BAIXA. Estudos majoritariamente observacionais, sem grupo controle, com dados subjetivos e alto risco de viés. A Sociedade Brasileira de Neurologia Infantil considera o uso no TEA experimental e sem garantia de eficácia.</t>
  </si>
  <si>
    <t xml:space="preserve">Revisões sistemáticas citadas nas notas NatJus; posição da SBNI</t>
  </si>
  <si>
    <t xml:space="preserve">Peso orçamentário evitado</t>
  </si>
  <si>
    <t xml:space="preserve">Na versão inicial do estudo a medicação representava R$ 4.760 por aluno ao ano, cerca de 42% do pacote clínico. Sua retirada reduz o custo e elimina o item de menor sustentação técnica do projeto.</t>
  </si>
  <si>
    <t xml:space="preserve">Cálculo sobre a tabela do contratante</t>
  </si>
  <si>
    <t xml:space="preserve">Risco para a Administração</t>
  </si>
  <si>
    <t xml:space="preserve">Contratar fornecimento de produto sem registro sanitário, fora de indicação autorizada pelo conselho profissional e não incorporado ao SUS expõe o gestor a questionamento dos órgãos de controle, a glosa e a responsabilização, além de criar precedente de difícil reversão.</t>
  </si>
  <si>
    <t xml:space="preserve">Análise G3</t>
  </si>
  <si>
    <t xml:space="preserve">RECOMENDAÇÃO</t>
  </si>
  <si>
    <t xml:space="preserve">— A rubrica de medicação foi retirada do objeto contratual. O cenário C da aba 5 é o desenho adotado.</t>
  </si>
  <si>
    <t xml:space="preserve">— Tratar o acesso ao canabidiol pela via individualizada já existente — avaliação clínica caso a caso, prescrição por médico habilitado e, quando cabível, autorização de importação pela ANVISA —, e não como item de fornecimento coletivo custeado por contrato de educação.</t>
  </si>
  <si>
    <t xml:space="preserve">— Se o município optar por instituir política própria de fornecimento, fazê-lo por lei municipal específica, com protocolo clínico, comissão de avaliação e rubrica orçamentária da Saúde, separada do contrato da plataforma.</t>
  </si>
  <si>
    <t xml:space="preserve">— Manter na plataforma o registro do uso de medicação prescrita, o que é função legítima de coordenação de cuidado e não implica custeio pelo contrato.</t>
  </si>
  <si>
    <t xml:space="preserve">FONTES, PREMISSAS E LIMITAÇÕES</t>
  </si>
  <si>
    <t xml:space="preserve">Conteúdo</t>
  </si>
  <si>
    <t xml:space="preserve">Natureza</t>
  </si>
  <si>
    <t xml:space="preserve">População com TEA</t>
  </si>
  <si>
    <t xml:space="preserve">IBGE, SIDRA tabela 10145, variável 13267 — Censo 2022, resultados preliminares da amostra. Pessoas com diagnóstico informado por profissional de saúde. Consulta em 29/09/2026.</t>
  </si>
  <si>
    <t xml:space="preserve">Dado oficial</t>
  </si>
  <si>
    <t xml:space="preserve">Recortes 4-18 e 6-14</t>
  </si>
  <si>
    <t xml:space="preserve">Estimativa por distribuição uniforme dentro de cada faixa quinquenal. A tabela do IBGE não publica idade simples.</t>
  </si>
  <si>
    <t xml:space="preserve">Estimativa</t>
  </si>
  <si>
    <t xml:space="preserve">Âncoras de preço da plataforma</t>
  </si>
  <si>
    <t xml:space="preserve">ARP nº 045/2026 do CIMINAS, Concorrência Eletrônica nº 004/2026, assinada em 27/08/2026.</t>
  </si>
  <si>
    <t xml:space="preserve">Comparável público de AEE</t>
  </si>
  <si>
    <t xml:space="preserve">CIMPAR — Consórcio Intermunicipal Multifinalitário do Vale do Paraibuna. Pregão Eletrônico nº 07/2026, processo 09/2026, homologado em 16/07/2026. R$ 116.389.239,08. Vencedora: Cognvox. Quantidade de alunos e preço unitário não publicados.</t>
  </si>
  <si>
    <t xml:space="preserve">Dado público</t>
  </si>
  <si>
    <t xml:space="preserve">Sistema de gestão escolar municipal</t>
  </si>
  <si>
    <t xml:space="preserve">Chorozinho/CE, processo 001-005/2026-AD-SEDUC, R$ 360.000 por 12 meses.</t>
  </si>
  <si>
    <t xml:space="preserve">Preço privado de gestão de PEI</t>
  </si>
  <si>
    <t xml:space="preserve">IncludED — plano intermediário. Equivalência por aluno calculada no teto do plano; não é preço publicado por aluno.</t>
  </si>
  <si>
    <t xml:space="preserve">Inferência</t>
  </si>
  <si>
    <t xml:space="preserve">Valores de consulta e medicação</t>
  </si>
  <si>
    <t xml:space="preserve">Tabela fornecida pelo contratante em 29/09/2026.</t>
  </si>
  <si>
    <t xml:space="preserve">Informado pelo cliente</t>
  </si>
  <si>
    <t xml:space="preserve">Estrutura da rede de Guarujá</t>
  </si>
  <si>
    <t xml:space="preserve">Unidades escolares, profissionais e matrículas: PARÂMETROS PROVISÓRIOS. Devem ser substituídos pelos dados do Censo Escolar e da Secretaria Municipal de Educação antes de qualquer uso externo.</t>
  </si>
  <si>
    <t xml:space="preserve">A confirmar</t>
  </si>
  <si>
    <t xml:space="preserve">Preços unitários propostos</t>
  </si>
  <si>
    <t xml:space="preserve">Os itens sem âncora pública são propostos com base em prática de mercado e devem ser validados por pesquisa de preços nos termos do art. 23 da Lei nº 14.133/2021.</t>
  </si>
  <si>
    <t xml:space="preserve">A validar</t>
  </si>
  <si>
    <t xml:space="preserve">Regulação do canabidiol</t>
  </si>
  <si>
    <t xml:space="preserve">Portaria SCTIE/MS nº 25/2021; RDC ANVISA nº 660/2022; revisão da RDC nº 327 em 28/01/2026; Resolução CFM nº 2.324/2022; notas técnicas NatJus/TJDFT e NAT/TRF2.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</si>
</sst>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0.00"/>
    <numFmt numFmtId="168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i val="true"/>
      <sz val="11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8E8E8"/>
      </patternFill>
    </fill>
    <fill>
      <patternFill patternType="solid">
        <fgColor rgb="FFE8E8E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8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1" t="s">
        <v>4</v>
      </c>
    </row>
    <row r="7" customFormat="false" ht="31.5" hidden="false" customHeight="true" outlineLevel="0" collapsed="false">
      <c r="A7" s="3" t="s">
        <v>5</v>
      </c>
      <c r="B7" s="3" t="s">
        <v>6</v>
      </c>
      <c r="C7" s="3" t="s">
        <v>7</v>
      </c>
    </row>
    <row r="8" customFormat="false" ht="15" hidden="false" customHeight="false" outlineLevel="0" collapsed="false">
      <c r="A8" s="4" t="s">
        <v>8</v>
      </c>
      <c r="B8" s="5" t="n">
        <v>579</v>
      </c>
      <c r="C8" s="6" t="s">
        <v>9</v>
      </c>
    </row>
    <row r="9" customFormat="false" ht="15" hidden="false" customHeight="false" outlineLevel="0" collapsed="false">
      <c r="A9" s="4" t="s">
        <v>10</v>
      </c>
      <c r="B9" s="5" t="n">
        <v>639</v>
      </c>
      <c r="C9" s="6" t="s">
        <v>9</v>
      </c>
    </row>
    <row r="10" customFormat="false" ht="15" hidden="false" customHeight="false" outlineLevel="0" collapsed="false">
      <c r="A10" s="4" t="s">
        <v>11</v>
      </c>
      <c r="B10" s="5" t="n">
        <v>518</v>
      </c>
      <c r="C10" s="6" t="s">
        <v>9</v>
      </c>
    </row>
    <row r="11" customFormat="false" ht="15" hidden="false" customHeight="false" outlineLevel="0" collapsed="false">
      <c r="A11" s="4" t="s">
        <v>12</v>
      </c>
      <c r="B11" s="5" t="n">
        <v>393</v>
      </c>
      <c r="C11" s="6" t="s">
        <v>9</v>
      </c>
    </row>
    <row r="12" customFormat="false" ht="15" hidden="false" customHeight="false" outlineLevel="0" collapsed="false">
      <c r="A12" s="7" t="s">
        <v>13</v>
      </c>
      <c r="B12" s="8" t="n">
        <f aca="false">SUM(B8:B11)</f>
        <v>2129</v>
      </c>
    </row>
    <row r="14" customFormat="false" ht="15" hidden="false" customHeight="false" outlineLevel="0" collapsed="false">
      <c r="A14" s="1" t="s">
        <v>14</v>
      </c>
    </row>
    <row r="15" customFormat="false" ht="31.5" hidden="false" customHeight="true" outlineLevel="0" collapsed="false">
      <c r="A15" s="3" t="s">
        <v>15</v>
      </c>
      <c r="B15" s="3" t="s">
        <v>16</v>
      </c>
      <c r="C15" s="3" t="s">
        <v>17</v>
      </c>
    </row>
    <row r="16" customFormat="false" ht="37.3" hidden="false" customHeight="false" outlineLevel="0" collapsed="false">
      <c r="A16" s="4" t="s">
        <v>18</v>
      </c>
      <c r="B16" s="6" t="s">
        <v>19</v>
      </c>
      <c r="C16" s="5" t="n">
        <f aca="false">ROUND(B8/5+B9+B10+B11*4/5,0)</f>
        <v>1587</v>
      </c>
    </row>
    <row r="17" customFormat="false" ht="15" hidden="false" customHeight="false" outlineLevel="0" collapsed="false">
      <c r="A17" s="4" t="s">
        <v>20</v>
      </c>
      <c r="B17" s="6" t="s">
        <v>21</v>
      </c>
      <c r="C17" s="5" t="n">
        <f aca="false">ROUND(B9*4/5+B10,0)</f>
        <v>1029</v>
      </c>
    </row>
    <row r="19" customFormat="false" ht="15" hidden="false" customHeight="false" outlineLevel="0" collapsed="false">
      <c r="A19" s="1" t="s">
        <v>22</v>
      </c>
    </row>
    <row r="20" customFormat="false" ht="31.5" hidden="false" customHeight="true" outlineLevel="0" collapsed="false">
      <c r="A20" s="3" t="s">
        <v>23</v>
      </c>
      <c r="B20" s="3" t="s">
        <v>24</v>
      </c>
      <c r="C20" s="3" t="s">
        <v>25</v>
      </c>
    </row>
    <row r="21" customFormat="false" ht="25.35" hidden="false" customHeight="false" outlineLevel="0" collapsed="false">
      <c r="A21" s="4" t="s">
        <v>26</v>
      </c>
      <c r="B21" s="9" t="n">
        <v>0.6</v>
      </c>
      <c r="C21" s="6" t="s">
        <v>27</v>
      </c>
    </row>
    <row r="22" customFormat="false" ht="25.35" hidden="false" customHeight="false" outlineLevel="0" collapsed="false">
      <c r="A22" s="4" t="s">
        <v>28</v>
      </c>
      <c r="B22" s="10" t="n">
        <v>1.6</v>
      </c>
      <c r="C22" s="6" t="s">
        <v>29</v>
      </c>
    </row>
    <row r="23" customFormat="false" ht="25.35" hidden="false" customHeight="false" outlineLevel="0" collapsed="false">
      <c r="A23" s="4" t="s">
        <v>30</v>
      </c>
      <c r="B23" s="9" t="n">
        <v>0.85</v>
      </c>
      <c r="C23" s="6" t="s">
        <v>31</v>
      </c>
    </row>
    <row r="24" customFormat="false" ht="25.35" hidden="false" customHeight="false" outlineLevel="0" collapsed="false">
      <c r="A24" s="4" t="s">
        <v>32</v>
      </c>
      <c r="B24" s="9" t="n">
        <v>0.45</v>
      </c>
      <c r="C24" s="6" t="s">
        <v>33</v>
      </c>
    </row>
    <row r="26" customFormat="false" ht="15" hidden="false" customHeight="false" outlineLevel="0" collapsed="false">
      <c r="A26" s="1" t="s">
        <v>34</v>
      </c>
    </row>
    <row r="27" customFormat="false" ht="31.5" hidden="false" customHeight="true" outlineLevel="0" collapsed="false">
      <c r="A27" s="3" t="s">
        <v>23</v>
      </c>
      <c r="B27" s="3" t="s">
        <v>24</v>
      </c>
      <c r="C27" s="3" t="s">
        <v>25</v>
      </c>
    </row>
    <row r="28" customFormat="false" ht="15" hidden="false" customHeight="false" outlineLevel="0" collapsed="false">
      <c r="A28" s="4" t="s">
        <v>35</v>
      </c>
      <c r="B28" s="11" t="n">
        <v>60</v>
      </c>
      <c r="C28" s="6" t="s">
        <v>36</v>
      </c>
    </row>
    <row r="29" customFormat="false" ht="15" hidden="false" customHeight="false" outlineLevel="0" collapsed="false">
      <c r="A29" s="4" t="s">
        <v>37</v>
      </c>
      <c r="B29" s="11" t="n">
        <v>900</v>
      </c>
      <c r="C29" s="6" t="s">
        <v>38</v>
      </c>
    </row>
    <row r="30" customFormat="false" ht="25.35" hidden="false" customHeight="false" outlineLevel="0" collapsed="false">
      <c r="A30" s="4" t="s">
        <v>39</v>
      </c>
      <c r="B30" s="11" t="n">
        <v>60</v>
      </c>
      <c r="C30" s="6" t="s">
        <v>40</v>
      </c>
    </row>
    <row r="31" customFormat="false" ht="15" hidden="false" customHeight="false" outlineLevel="0" collapsed="false">
      <c r="A31" s="4" t="s">
        <v>41</v>
      </c>
      <c r="B31" s="11" t="n">
        <v>20</v>
      </c>
      <c r="C31" s="6" t="s">
        <v>42</v>
      </c>
    </row>
    <row r="32" customFormat="false" ht="25.35" hidden="false" customHeight="false" outlineLevel="0" collapsed="false">
      <c r="A32" s="4" t="s">
        <v>43</v>
      </c>
      <c r="B32" s="11" t="n">
        <v>40</v>
      </c>
      <c r="C32" s="6" t="s">
        <v>44</v>
      </c>
    </row>
    <row r="34" customFormat="false" ht="15" hidden="false" customHeight="false" outlineLevel="0" collapsed="false">
      <c r="A34" s="1" t="s">
        <v>45</v>
      </c>
    </row>
    <row r="35" customFormat="false" ht="31.5" hidden="false" customHeight="true" outlineLevel="0" collapsed="false">
      <c r="A35" s="3" t="s">
        <v>46</v>
      </c>
      <c r="B35" s="3" t="s">
        <v>24</v>
      </c>
      <c r="C35" s="3" t="s">
        <v>47</v>
      </c>
    </row>
    <row r="36" customFormat="false" ht="25.35" hidden="false" customHeight="false" outlineLevel="0" collapsed="false">
      <c r="A36" s="12" t="s">
        <v>48</v>
      </c>
      <c r="B36" s="13" t="n">
        <v>750.97</v>
      </c>
      <c r="C36" s="6" t="s">
        <v>49</v>
      </c>
    </row>
    <row r="37" customFormat="false" ht="15" hidden="false" customHeight="false" outlineLevel="0" collapsed="false">
      <c r="A37" s="12" t="s">
        <v>50</v>
      </c>
      <c r="B37" s="13" t="n">
        <v>1162.49</v>
      </c>
      <c r="C37" s="6" t="s">
        <v>51</v>
      </c>
    </row>
    <row r="38" customFormat="false" ht="15" hidden="false" customHeight="false" outlineLevel="0" collapsed="false">
      <c r="A38" s="12" t="s">
        <v>52</v>
      </c>
      <c r="B38" s="13" t="n">
        <v>3520.84</v>
      </c>
      <c r="C38" s="6" t="s">
        <v>53</v>
      </c>
    </row>
    <row r="39" customFormat="false" ht="15" hidden="false" customHeight="false" outlineLevel="0" collapsed="false">
      <c r="A39" s="12" t="s">
        <v>54</v>
      </c>
      <c r="B39" s="13" t="n">
        <v>2542.89</v>
      </c>
      <c r="C39" s="6" t="s">
        <v>55</v>
      </c>
    </row>
    <row r="40" customFormat="false" ht="25.35" hidden="false" customHeight="false" outlineLevel="0" collapsed="false">
      <c r="A40" s="12" t="s">
        <v>56</v>
      </c>
      <c r="B40" s="13" t="n">
        <v>116389239.08</v>
      </c>
      <c r="C40" s="6" t="s">
        <v>57</v>
      </c>
    </row>
    <row r="41" customFormat="false" ht="25.35" hidden="false" customHeight="false" outlineLevel="0" collapsed="false">
      <c r="A41" s="12" t="s">
        <v>58</v>
      </c>
      <c r="B41" s="13" t="n">
        <v>360000</v>
      </c>
      <c r="C41" s="6" t="s">
        <v>59</v>
      </c>
    </row>
    <row r="42" customFormat="false" ht="25.35" hidden="false" customHeight="false" outlineLevel="0" collapsed="false">
      <c r="A42" s="12" t="s">
        <v>60</v>
      </c>
      <c r="B42" s="13" t="n">
        <v>189</v>
      </c>
      <c r="C42" s="6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38"/>
  </cols>
  <sheetData>
    <row r="1" customFormat="false" ht="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1.5" hidden="false" customHeight="true" outlineLevel="0" collapsed="false">
      <c r="A4" s="3" t="s">
        <v>64</v>
      </c>
      <c r="B4" s="3" t="s">
        <v>65</v>
      </c>
      <c r="C4" s="3" t="s">
        <v>66</v>
      </c>
    </row>
    <row r="5" customFormat="false" ht="15" hidden="false" customHeight="false" outlineLevel="0" collapsed="false">
      <c r="A5" s="12" t="s">
        <v>67</v>
      </c>
      <c r="B5" s="5" t="n">
        <f aca="false">ROUND('1. Parametros'!C16,0)</f>
        <v>1587</v>
      </c>
      <c r="C5" s="6" t="s">
        <v>68</v>
      </c>
    </row>
    <row r="6" customFormat="false" ht="15" hidden="false" customHeight="false" outlineLevel="0" collapsed="false">
      <c r="A6" s="12" t="s">
        <v>69</v>
      </c>
      <c r="B6" s="5" t="n">
        <f aca="false">ROUND(B5*'1. Parametros'!$B$21,0)</f>
        <v>952</v>
      </c>
      <c r="C6" s="6" t="s">
        <v>70</v>
      </c>
    </row>
    <row r="7" customFormat="false" ht="25.35" hidden="false" customHeight="false" outlineLevel="0" collapsed="false">
      <c r="A7" s="12" t="s">
        <v>71</v>
      </c>
      <c r="B7" s="5" t="n">
        <f aca="false">ROUND(B6*'1. Parametros'!$B$22,0)</f>
        <v>1523</v>
      </c>
      <c r="C7" s="6" t="s">
        <v>72</v>
      </c>
    </row>
    <row r="8" customFormat="false" ht="25.35" hidden="false" customHeight="false" outlineLevel="0" collapsed="false">
      <c r="A8" s="12" t="s">
        <v>73</v>
      </c>
      <c r="B8" s="8" t="n">
        <f aca="false">ROUND(B7*'1. Parametros'!$B$23,0)</f>
        <v>1295</v>
      </c>
      <c r="C8" s="6" t="s">
        <v>74</v>
      </c>
    </row>
    <row r="10" customFormat="false" ht="15" hidden="false" customHeight="false" outlineLevel="0" collapsed="false">
      <c r="A10" s="1" t="s">
        <v>75</v>
      </c>
    </row>
    <row r="11" customFormat="false" ht="31.5" hidden="false" customHeight="true" outlineLevel="0" collapsed="false">
      <c r="A11" s="3" t="s">
        <v>15</v>
      </c>
      <c r="B11" s="3" t="s">
        <v>65</v>
      </c>
      <c r="C11" s="3" t="s">
        <v>66</v>
      </c>
    </row>
    <row r="12" customFormat="false" ht="15" hidden="false" customHeight="false" outlineLevel="0" collapsed="false">
      <c r="A12" s="12" t="s">
        <v>76</v>
      </c>
      <c r="B12" s="5" t="n">
        <f aca="false">ROUND('1. Parametros'!C17*'1. Parametros'!$B$21*'1. Parametros'!$B$22*'1. Parametros'!$B$23,0)</f>
        <v>840</v>
      </c>
      <c r="C12" s="6" t="s">
        <v>77</v>
      </c>
    </row>
    <row r="13" customFormat="false" ht="15" hidden="false" customHeight="false" outlineLevel="0" collapsed="false">
      <c r="A13" s="12" t="s">
        <v>78</v>
      </c>
      <c r="B13" s="5" t="n">
        <f aca="false">ROUND('2. Dimensionamento'!$B$8*'1. Parametros'!$B$24,0)</f>
        <v>583</v>
      </c>
      <c r="C13" s="6" t="s">
        <v>79</v>
      </c>
    </row>
    <row r="15" customFormat="false" ht="15" hidden="false" customHeight="false" outlineLevel="0" collapsed="false">
      <c r="A15" s="1" t="s">
        <v>80</v>
      </c>
    </row>
    <row r="16" customFormat="false" ht="31.5" hidden="false" customHeight="true" outlineLevel="0" collapsed="false">
      <c r="A16" s="3" t="s">
        <v>15</v>
      </c>
      <c r="B16" s="3" t="s">
        <v>17</v>
      </c>
      <c r="C16" s="3" t="s">
        <v>25</v>
      </c>
    </row>
    <row r="17" customFormat="false" ht="15" hidden="false" customHeight="false" outlineLevel="0" collapsed="false">
      <c r="A17" s="4" t="s">
        <v>81</v>
      </c>
      <c r="B17" s="5" t="n">
        <v>2129</v>
      </c>
      <c r="C17" s="6" t="s">
        <v>82</v>
      </c>
    </row>
    <row r="18" customFormat="false" ht="15" hidden="false" customHeight="false" outlineLevel="0" collapsed="false">
      <c r="A18" s="4" t="s">
        <v>83</v>
      </c>
      <c r="B18" s="5" t="n">
        <v>208381</v>
      </c>
      <c r="C18" s="6" t="s">
        <v>84</v>
      </c>
    </row>
    <row r="19" customFormat="false" ht="15" hidden="false" customHeight="false" outlineLevel="0" collapsed="false">
      <c r="A19" s="4" t="s">
        <v>85</v>
      </c>
      <c r="B19" s="5" t="n">
        <v>1060019</v>
      </c>
      <c r="C19" s="6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31.5" hidden="false" customHeight="true" outlineLevel="0" collapsed="false">
      <c r="A4" s="3" t="s">
        <v>89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94</v>
      </c>
    </row>
    <row r="5" customFormat="false" ht="25.35" hidden="false" customHeight="false" outlineLevel="0" collapsed="false">
      <c r="A5" s="12" t="s">
        <v>95</v>
      </c>
      <c r="B5" s="14" t="s">
        <v>96</v>
      </c>
      <c r="C5" s="5" t="n">
        <f aca="false">'1. Parametros'!$B$28</f>
        <v>60</v>
      </c>
      <c r="D5" s="15" t="n">
        <v>6000</v>
      </c>
      <c r="E5" s="13" t="n">
        <f aca="false">C5*D5</f>
        <v>360000</v>
      </c>
      <c r="F5" s="6" t="s">
        <v>97</v>
      </c>
    </row>
    <row r="6" customFormat="false" ht="25.35" hidden="false" customHeight="false" outlineLevel="0" collapsed="false">
      <c r="A6" s="12" t="s">
        <v>98</v>
      </c>
      <c r="B6" s="14" t="s">
        <v>99</v>
      </c>
      <c r="C6" s="5" t="n">
        <f aca="false">'2. Dimensionamento'!$B$8</f>
        <v>1295</v>
      </c>
      <c r="D6" s="15" t="n">
        <v>320</v>
      </c>
      <c r="E6" s="13" t="n">
        <f aca="false">C6*D6</f>
        <v>414400</v>
      </c>
      <c r="F6" s="6" t="s">
        <v>100</v>
      </c>
    </row>
    <row r="7" customFormat="false" ht="15" hidden="false" customHeight="false" outlineLevel="0" collapsed="false">
      <c r="A7" s="12" t="s">
        <v>101</v>
      </c>
      <c r="B7" s="14" t="s">
        <v>102</v>
      </c>
      <c r="C7" s="5" t="n">
        <f aca="false">'1. Parametros'!$B$30</f>
        <v>60</v>
      </c>
      <c r="D7" s="15" t="n">
        <v>900</v>
      </c>
      <c r="E7" s="13" t="n">
        <f aca="false">C7*D7</f>
        <v>54000</v>
      </c>
      <c r="F7" s="6" t="s">
        <v>103</v>
      </c>
    </row>
    <row r="8" customFormat="false" ht="25.35" hidden="false" customHeight="false" outlineLevel="0" collapsed="false">
      <c r="A8" s="12" t="s">
        <v>104</v>
      </c>
      <c r="B8" s="14" t="s">
        <v>105</v>
      </c>
      <c r="C8" s="5" t="n">
        <f aca="false">ROUND('2. Dimensionamento'!$B$8*0.9,0)</f>
        <v>1166</v>
      </c>
      <c r="D8" s="15" t="n">
        <v>60</v>
      </c>
      <c r="E8" s="13" t="n">
        <f aca="false">C8*D8</f>
        <v>69960</v>
      </c>
      <c r="F8" s="6" t="s">
        <v>106</v>
      </c>
    </row>
    <row r="9" customFormat="false" ht="15" hidden="false" customHeight="false" outlineLevel="0" collapsed="false">
      <c r="A9" s="12" t="s">
        <v>107</v>
      </c>
      <c r="B9" s="14" t="s">
        <v>108</v>
      </c>
      <c r="C9" s="5" t="n">
        <v>1</v>
      </c>
      <c r="D9" s="15" t="n">
        <v>36000</v>
      </c>
      <c r="E9" s="13" t="n">
        <f aca="false">C9*D9</f>
        <v>36000</v>
      </c>
      <c r="F9" s="6" t="s">
        <v>109</v>
      </c>
    </row>
    <row r="10" customFormat="false" ht="25.35" hidden="false" customHeight="false" outlineLevel="0" collapsed="false">
      <c r="A10" s="12" t="s">
        <v>110</v>
      </c>
      <c r="B10" s="14" t="s">
        <v>111</v>
      </c>
      <c r="C10" s="5" t="n">
        <f aca="false">'1. Parametros'!$B$28</f>
        <v>60</v>
      </c>
      <c r="D10" s="15" t="n">
        <v>1162.49</v>
      </c>
      <c r="E10" s="13" t="n">
        <f aca="false">C10*D10</f>
        <v>69749.4</v>
      </c>
      <c r="F10" s="6" t="s">
        <v>112</v>
      </c>
    </row>
    <row r="11" customFormat="false" ht="25.35" hidden="false" customHeight="false" outlineLevel="0" collapsed="false">
      <c r="A11" s="12" t="s">
        <v>113</v>
      </c>
      <c r="B11" s="14" t="s">
        <v>114</v>
      </c>
      <c r="C11" s="5" t="n">
        <v>4</v>
      </c>
      <c r="D11" s="15" t="n">
        <v>28000</v>
      </c>
      <c r="E11" s="13" t="n">
        <f aca="false">C11*D11</f>
        <v>112000</v>
      </c>
      <c r="F11" s="6" t="s">
        <v>115</v>
      </c>
    </row>
    <row r="12" customFormat="false" ht="25.35" hidden="false" customHeight="false" outlineLevel="0" collapsed="false">
      <c r="A12" s="12" t="s">
        <v>116</v>
      </c>
      <c r="B12" s="14" t="s">
        <v>117</v>
      </c>
      <c r="C12" s="5" t="n">
        <f aca="false">ROUNDUP('1. Parametros'!$B$29/'1. Parametros'!$B$31,0)</f>
        <v>45</v>
      </c>
      <c r="D12" s="15" t="n">
        <v>3520.84</v>
      </c>
      <c r="E12" s="13" t="n">
        <f aca="false">C12*D12</f>
        <v>158437.8</v>
      </c>
      <c r="F12" s="6" t="s">
        <v>118</v>
      </c>
    </row>
    <row r="13" customFormat="false" ht="25.35" hidden="false" customHeight="false" outlineLevel="0" collapsed="false">
      <c r="A13" s="12" t="s">
        <v>119</v>
      </c>
      <c r="B13" s="14" t="s">
        <v>120</v>
      </c>
      <c r="C13" s="5" t="n">
        <f aca="false">'1. Parametros'!$B$32*12</f>
        <v>480</v>
      </c>
      <c r="D13" s="15" t="n">
        <v>240</v>
      </c>
      <c r="E13" s="13" t="n">
        <f aca="false">C13*D13</f>
        <v>115200</v>
      </c>
      <c r="F13" s="6" t="s">
        <v>121</v>
      </c>
    </row>
    <row r="14" customFormat="false" ht="25.35" hidden="false" customHeight="false" outlineLevel="0" collapsed="false">
      <c r="A14" s="12" t="s">
        <v>122</v>
      </c>
      <c r="B14" s="14" t="s">
        <v>123</v>
      </c>
      <c r="C14" s="5" t="n">
        <v>12</v>
      </c>
      <c r="D14" s="15" t="n">
        <v>9500</v>
      </c>
      <c r="E14" s="13" t="n">
        <f aca="false">C14*D14</f>
        <v>114000</v>
      </c>
      <c r="F14" s="6" t="s">
        <v>124</v>
      </c>
    </row>
    <row r="15" customFormat="false" ht="15" hidden="false" customHeight="false" outlineLevel="0" collapsed="false">
      <c r="A15" s="7" t="s">
        <v>125</v>
      </c>
      <c r="B15" s="16"/>
      <c r="C15" s="16"/>
      <c r="D15" s="16"/>
      <c r="E15" s="17" t="n">
        <f aca="false">SUM(E5:E14)</f>
        <v>1503747.2</v>
      </c>
      <c r="F15" s="16"/>
    </row>
    <row r="16" customFormat="false" ht="15" hidden="false" customHeight="false" outlineLevel="0" collapsed="false">
      <c r="A16" s="18" t="s">
        <v>126</v>
      </c>
      <c r="E16" s="19" t="n">
        <f aca="false">IFERROR('3. Plataforma'!$E$15/'2. Dimensionamento'!$B$8,0)</f>
        <v>1161.19474903475</v>
      </c>
    </row>
    <row r="18" customFormat="false" ht="15" hidden="false" customHeight="false" outlineLevel="0" collapsed="false">
      <c r="A18" s="1" t="s">
        <v>127</v>
      </c>
    </row>
    <row r="19" customFormat="false" ht="31.5" hidden="false" customHeight="true" outlineLevel="0" collapsed="false">
      <c r="A19" s="3" t="s">
        <v>89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</row>
    <row r="20" customFormat="false" ht="25.35" hidden="false" customHeight="false" outlineLevel="0" collapsed="false">
      <c r="A20" s="12" t="s">
        <v>128</v>
      </c>
      <c r="B20" s="14" t="s">
        <v>99</v>
      </c>
      <c r="C20" s="5" t="n">
        <f aca="false">'2. Dimensionamento'!$B$8</f>
        <v>1295</v>
      </c>
      <c r="D20" s="15" t="n">
        <v>750.97</v>
      </c>
      <c r="E20" s="13" t="n">
        <f aca="false">C20*D20</f>
        <v>972506.15</v>
      </c>
      <c r="F20" s="6" t="s">
        <v>129</v>
      </c>
    </row>
    <row r="21" customFormat="false" ht="25.35" hidden="false" customHeight="false" outlineLevel="0" collapsed="false">
      <c r="A21" s="12" t="s">
        <v>54</v>
      </c>
      <c r="B21" s="14" t="s">
        <v>130</v>
      </c>
      <c r="C21" s="5" t="n">
        <f aca="false">ROUNDUP('1. Parametros'!$B$28/4,0)</f>
        <v>15</v>
      </c>
      <c r="D21" s="15" t="n">
        <v>2542.89</v>
      </c>
      <c r="E21" s="13" t="n">
        <f aca="false">C21*D21</f>
        <v>38143.35</v>
      </c>
      <c r="F21" s="6" t="s">
        <v>131</v>
      </c>
    </row>
    <row r="22" customFormat="false" ht="15" hidden="false" customHeight="false" outlineLevel="0" collapsed="false">
      <c r="A22" s="7" t="s">
        <v>132</v>
      </c>
      <c r="B22" s="16"/>
      <c r="C22" s="16"/>
      <c r="D22" s="16"/>
      <c r="E22" s="17" t="n">
        <f aca="false">SUM(E20:E21)</f>
        <v>1010649.5</v>
      </c>
      <c r="F2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48"/>
  </cols>
  <sheetData>
    <row r="1" customFormat="false" ht="1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15" hidden="false" customHeight="false" outlineLevel="0" collapsed="false">
      <c r="A4" s="1" t="s">
        <v>135</v>
      </c>
    </row>
    <row r="5" customFormat="false" ht="31.5" hidden="false" customHeight="true" outlineLevel="0" collapsed="false">
      <c r="A5" s="3" t="s">
        <v>130</v>
      </c>
      <c r="B5" s="3" t="s">
        <v>136</v>
      </c>
      <c r="C5" s="3" t="s">
        <v>137</v>
      </c>
      <c r="D5" s="3" t="s">
        <v>138</v>
      </c>
      <c r="E5" s="3" t="s">
        <v>139</v>
      </c>
    </row>
    <row r="6" customFormat="false" ht="15" hidden="false" customHeight="false" outlineLevel="0" collapsed="false">
      <c r="A6" s="12" t="s">
        <v>140</v>
      </c>
      <c r="B6" s="15" t="n">
        <v>400</v>
      </c>
      <c r="C6" s="11" t="n">
        <v>3</v>
      </c>
      <c r="D6" s="13" t="n">
        <f aca="false">B6*C6</f>
        <v>1200</v>
      </c>
      <c r="E6" s="6" t="s">
        <v>141</v>
      </c>
    </row>
    <row r="7" customFormat="false" ht="15" hidden="false" customHeight="false" outlineLevel="0" collapsed="false">
      <c r="A7" s="12" t="s">
        <v>142</v>
      </c>
      <c r="B7" s="15" t="n">
        <v>400</v>
      </c>
      <c r="C7" s="11" t="n">
        <v>3</v>
      </c>
      <c r="D7" s="13" t="n">
        <f aca="false">B7*C7</f>
        <v>1200</v>
      </c>
      <c r="E7" s="6" t="s">
        <v>141</v>
      </c>
    </row>
    <row r="8" customFormat="false" ht="49.25" hidden="false" customHeight="false" outlineLevel="0" collapsed="false">
      <c r="A8" s="12" t="s">
        <v>143</v>
      </c>
      <c r="B8" s="15" t="n">
        <v>100</v>
      </c>
      <c r="C8" s="11" t="n">
        <v>12</v>
      </c>
      <c r="D8" s="13" t="n">
        <f aca="false">B8*C8</f>
        <v>1200</v>
      </c>
      <c r="E8" s="6" t="s">
        <v>144</v>
      </c>
    </row>
    <row r="9" customFormat="false" ht="37.3" hidden="false" customHeight="false" outlineLevel="0" collapsed="false">
      <c r="A9" s="12" t="s">
        <v>145</v>
      </c>
      <c r="B9" s="15" t="n">
        <v>150</v>
      </c>
      <c r="C9" s="11" t="n">
        <v>12</v>
      </c>
      <c r="D9" s="13" t="n">
        <f aca="false">B9*C9</f>
        <v>1800</v>
      </c>
      <c r="E9" s="6" t="s">
        <v>146</v>
      </c>
    </row>
    <row r="10" customFormat="false" ht="15" hidden="false" customHeight="false" outlineLevel="0" collapsed="false">
      <c r="A10" s="12" t="s">
        <v>147</v>
      </c>
      <c r="B10" s="15" t="n">
        <v>100</v>
      </c>
      <c r="C10" s="11" t="n">
        <v>12</v>
      </c>
      <c r="D10" s="13" t="n">
        <f aca="false">B10*C10</f>
        <v>1200</v>
      </c>
      <c r="E10" s="6" t="s">
        <v>148</v>
      </c>
    </row>
    <row r="11" customFormat="false" ht="15" hidden="false" customHeight="false" outlineLevel="0" collapsed="false">
      <c r="A11" s="20" t="s">
        <v>149</v>
      </c>
      <c r="B11" s="21"/>
      <c r="C11" s="21"/>
      <c r="D11" s="22" t="n">
        <f aca="false">SUM(D6:D10)</f>
        <v>6600</v>
      </c>
      <c r="E11" s="21"/>
    </row>
    <row r="12" customFormat="false" ht="15" hidden="false" customHeight="false" outlineLevel="0" collapsed="false">
      <c r="A12" s="23" t="s">
        <v>150</v>
      </c>
    </row>
    <row r="14" customFormat="false" ht="15" hidden="false" customHeight="false" outlineLevel="0" collapsed="false">
      <c r="A14" s="1" t="s">
        <v>151</v>
      </c>
    </row>
    <row r="15" customFormat="false" ht="31.5" hidden="false" customHeight="true" outlineLevel="0" collapsed="false">
      <c r="A15" s="3" t="s">
        <v>152</v>
      </c>
      <c r="B15" s="3" t="s">
        <v>66</v>
      </c>
      <c r="C15" s="3" t="s">
        <v>153</v>
      </c>
      <c r="D15" s="3" t="s">
        <v>93</v>
      </c>
      <c r="E15" s="3" t="s">
        <v>25</v>
      </c>
    </row>
    <row r="16" customFormat="false" ht="15" hidden="false" customHeight="false" outlineLevel="0" collapsed="false">
      <c r="A16" s="12" t="s">
        <v>154</v>
      </c>
      <c r="B16" s="5" t="n">
        <f aca="false">'2. Dimensionamento'!$B$13</f>
        <v>583</v>
      </c>
      <c r="C16" s="13" t="n">
        <f aca="false">'4. Cuidado clinico'!$D$11</f>
        <v>6600</v>
      </c>
      <c r="D16" s="13" t="n">
        <f aca="false">B16*C16</f>
        <v>3847800</v>
      </c>
      <c r="E16" s="6" t="s">
        <v>155</v>
      </c>
    </row>
    <row r="17" customFormat="false" ht="15" hidden="false" customHeight="false" outlineLevel="0" collapsed="false">
      <c r="A17" s="7" t="s">
        <v>156</v>
      </c>
      <c r="B17" s="16"/>
      <c r="C17" s="16"/>
      <c r="D17" s="17" t="n">
        <f aca="false">SUM(D16:D16)</f>
        <v>3847800</v>
      </c>
      <c r="E17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1" t="s">
        <v>157</v>
      </c>
    </row>
    <row r="3" customFormat="false" ht="31.5" hidden="false" customHeight="true" outlineLevel="0" collapsed="false">
      <c r="A3" s="3" t="s">
        <v>158</v>
      </c>
      <c r="B3" s="3" t="s">
        <v>93</v>
      </c>
      <c r="C3" s="3" t="s">
        <v>159</v>
      </c>
      <c r="D3" s="3" t="s">
        <v>160</v>
      </c>
    </row>
    <row r="4" customFormat="false" ht="25.35" hidden="false" customHeight="false" outlineLevel="0" collapsed="false">
      <c r="A4" s="12" t="s">
        <v>161</v>
      </c>
      <c r="B4" s="13" t="n">
        <f aca="false">'3. Plataforma'!$E$15</f>
        <v>1503747.2</v>
      </c>
      <c r="C4" s="24" t="n">
        <f aca="false">IFERROR(B4/$B$7,0)</f>
        <v>0.236356603058186</v>
      </c>
      <c r="D4" s="13" t="n">
        <f aca="false">IFERROR(B4/'2. Dimensionamento'!$B$8,0)</f>
        <v>1161.19474903475</v>
      </c>
    </row>
    <row r="5" customFormat="false" ht="25.35" hidden="false" customHeight="false" outlineLevel="0" collapsed="false">
      <c r="A5" s="12" t="s">
        <v>162</v>
      </c>
      <c r="B5" s="13" t="n">
        <f aca="false">'3. Plataforma'!$E$22</f>
        <v>1010649.5</v>
      </c>
      <c r="C5" s="24" t="n">
        <f aca="false">IFERROR(B5/$B$7,0)</f>
        <v>0.158852287606889</v>
      </c>
      <c r="D5" s="13" t="n">
        <f aca="false">IFERROR(B5/'2. Dimensionamento'!$B$8,0)</f>
        <v>780.424324324324</v>
      </c>
    </row>
    <row r="6" customFormat="false" ht="25.35" hidden="false" customHeight="false" outlineLevel="0" collapsed="false">
      <c r="A6" s="12" t="s">
        <v>163</v>
      </c>
      <c r="B6" s="13" t="n">
        <f aca="false">'4. Cuidado clinico'!$D$16</f>
        <v>3847800</v>
      </c>
      <c r="C6" s="24" t="n">
        <f aca="false">IFERROR(B6/$B$7,0)</f>
        <v>0.604791109334925</v>
      </c>
      <c r="D6" s="13" t="n">
        <f aca="false">IFERROR(B6/'2. Dimensionamento'!$B$8,0)</f>
        <v>2971.27413127413</v>
      </c>
    </row>
    <row r="7" customFormat="false" ht="15" hidden="false" customHeight="false" outlineLevel="0" collapsed="false">
      <c r="A7" s="7" t="s">
        <v>164</v>
      </c>
      <c r="B7" s="17" t="n">
        <f aca="false">SUM(B4:B6)</f>
        <v>6362196.7</v>
      </c>
      <c r="C7" s="25" t="n">
        <f aca="false">SUM(C4:C6)</f>
        <v>1</v>
      </c>
      <c r="D7" s="17" t="n">
        <f aca="false">IFERROR(B7/'2. Dimensionamento'!$B$8,0)</f>
        <v>4912.89320463321</v>
      </c>
    </row>
    <row r="9" customFormat="false" ht="15" hidden="false" customHeight="false" outlineLevel="0" collapsed="false">
      <c r="A9" s="1" t="s">
        <v>165</v>
      </c>
    </row>
    <row r="10" customFormat="false" ht="31.5" hidden="false" customHeight="true" outlineLevel="0" collapsed="false">
      <c r="A10" s="3" t="s">
        <v>166</v>
      </c>
      <c r="B10" s="3" t="s">
        <v>167</v>
      </c>
      <c r="C10" s="3" t="s">
        <v>93</v>
      </c>
      <c r="D10" s="3" t="s">
        <v>168</v>
      </c>
    </row>
    <row r="11" customFormat="false" ht="61.15" hidden="false" customHeight="false" outlineLevel="0" collapsed="false">
      <c r="A11" s="26" t="s">
        <v>169</v>
      </c>
      <c r="B11" s="6" t="s">
        <v>170</v>
      </c>
      <c r="C11" s="13" t="n">
        <f aca="false">'3. Plataforma'!$E$15</f>
        <v>1503747.2</v>
      </c>
      <c r="D11" s="13" t="n">
        <f aca="false">IFERROR(C11/'2. Dimensionamento'!$B$8,0)</f>
        <v>1161.19474903475</v>
      </c>
    </row>
    <row r="12" customFormat="false" ht="37.3" hidden="false" customHeight="false" outlineLevel="0" collapsed="false">
      <c r="A12" s="26" t="s">
        <v>171</v>
      </c>
      <c r="B12" s="6" t="s">
        <v>172</v>
      </c>
      <c r="C12" s="13" t="n">
        <f aca="false">'3. Plataforma'!$E$15+'3. Plataforma'!$E$22</f>
        <v>2514396.7</v>
      </c>
      <c r="D12" s="13" t="n">
        <f aca="false">IFERROR(C12/'2. Dimensionamento'!$B$8,0)</f>
        <v>1941.61907335907</v>
      </c>
    </row>
    <row r="13" customFormat="false" ht="49.25" hidden="false" customHeight="false" outlineLevel="0" collapsed="false">
      <c r="A13" s="26" t="s">
        <v>173</v>
      </c>
      <c r="B13" s="6" t="s">
        <v>174</v>
      </c>
      <c r="C13" s="13" t="n">
        <f aca="false">'3. Plataforma'!$E$15+'3. Plataforma'!$E$22+'4. Cuidado clinico'!$D$16</f>
        <v>6362196.7</v>
      </c>
      <c r="D13" s="13" t="n">
        <f aca="false">IFERROR(C13/'2. Dimensionamento'!$B$8,0)</f>
        <v>4912.89320463321</v>
      </c>
    </row>
    <row r="15" customFormat="false" ht="15" hidden="false" customHeight="false" outlineLevel="0" collapsed="false">
      <c r="A15" s="1" t="s">
        <v>175</v>
      </c>
    </row>
    <row r="16" customFormat="false" ht="31.5" hidden="false" customHeight="true" outlineLevel="0" collapsed="false">
      <c r="A16" s="3" t="s">
        <v>166</v>
      </c>
      <c r="B16" s="3" t="s">
        <v>176</v>
      </c>
      <c r="C16" s="3" t="s">
        <v>177</v>
      </c>
      <c r="D16" s="3" t="s">
        <v>178</v>
      </c>
    </row>
    <row r="17" customFormat="false" ht="15" hidden="false" customHeight="false" outlineLevel="0" collapsed="false">
      <c r="A17" s="18" t="s">
        <v>169</v>
      </c>
      <c r="B17" s="13" t="n">
        <f aca="false">C11</f>
        <v>1503747.2</v>
      </c>
      <c r="C17" s="13" t="n">
        <f aca="false">C11-'3. Plataforma'!$E$10-'3. Plataforma'!$E$11</f>
        <v>1321997.8</v>
      </c>
      <c r="D17" s="13" t="n">
        <f aca="false">B17+C17*4</f>
        <v>6791738.4</v>
      </c>
    </row>
    <row r="18" customFormat="false" ht="15" hidden="false" customHeight="false" outlineLevel="0" collapsed="false">
      <c r="A18" s="18" t="s">
        <v>171</v>
      </c>
      <c r="B18" s="13" t="n">
        <f aca="false">C12</f>
        <v>2514396.7</v>
      </c>
      <c r="C18" s="13" t="n">
        <f aca="false">C12-'3. Plataforma'!$E$10-'3. Plataforma'!$E$11</f>
        <v>2332647.3</v>
      </c>
      <c r="D18" s="13" t="n">
        <f aca="false">B18+C18*4</f>
        <v>11844985.9</v>
      </c>
    </row>
    <row r="19" customFormat="false" ht="15" hidden="false" customHeight="false" outlineLevel="0" collapsed="false">
      <c r="A19" s="18" t="s">
        <v>173</v>
      </c>
      <c r="B19" s="13" t="n">
        <f aca="false">C13</f>
        <v>6362196.7</v>
      </c>
      <c r="C19" s="13" t="n">
        <f aca="false">C13-'3. Plataforma'!$E$10-'3. Plataforma'!$E$11</f>
        <v>6180447.3</v>
      </c>
      <c r="D19" s="13" t="n">
        <f aca="false">B19+C19*4</f>
        <v>31083985.9</v>
      </c>
    </row>
    <row r="20" customFormat="false" ht="15" hidden="false" customHeight="false" outlineLevel="0" collapsed="false">
      <c r="A20" s="27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4" customFormat="false" ht="31.5" hidden="false" customHeight="true" outlineLevel="0" collapsed="false">
      <c r="A4" s="3" t="s">
        <v>182</v>
      </c>
      <c r="B4" s="3" t="s">
        <v>183</v>
      </c>
      <c r="C4" s="3" t="s">
        <v>7</v>
      </c>
    </row>
    <row r="5" customFormat="false" ht="61.5" hidden="false" customHeight="true" outlineLevel="0" collapsed="false">
      <c r="A5" s="26" t="s">
        <v>184</v>
      </c>
      <c r="B5" s="12" t="s">
        <v>185</v>
      </c>
      <c r="C5" s="6" t="s">
        <v>186</v>
      </c>
    </row>
    <row r="6" customFormat="false" ht="61.5" hidden="false" customHeight="true" outlineLevel="0" collapsed="false">
      <c r="A6" s="26" t="s">
        <v>187</v>
      </c>
      <c r="B6" s="12" t="s">
        <v>188</v>
      </c>
      <c r="C6" s="6" t="s">
        <v>189</v>
      </c>
    </row>
    <row r="7" customFormat="false" ht="61.5" hidden="false" customHeight="true" outlineLevel="0" collapsed="false">
      <c r="A7" s="26" t="s">
        <v>190</v>
      </c>
      <c r="B7" s="12" t="s">
        <v>191</v>
      </c>
      <c r="C7" s="6" t="s">
        <v>192</v>
      </c>
    </row>
    <row r="8" customFormat="false" ht="61.5" hidden="false" customHeight="true" outlineLevel="0" collapsed="false">
      <c r="A8" s="26" t="s">
        <v>193</v>
      </c>
      <c r="B8" s="12" t="s">
        <v>194</v>
      </c>
      <c r="C8" s="6" t="s">
        <v>195</v>
      </c>
    </row>
    <row r="9" customFormat="false" ht="61.5" hidden="false" customHeight="true" outlineLevel="0" collapsed="false">
      <c r="A9" s="26" t="s">
        <v>196</v>
      </c>
      <c r="B9" s="12" t="s">
        <v>197</v>
      </c>
      <c r="C9" s="6" t="s">
        <v>198</v>
      </c>
    </row>
    <row r="10" customFormat="false" ht="61.5" hidden="false" customHeight="true" outlineLevel="0" collapsed="false">
      <c r="A10" s="26" t="s">
        <v>199</v>
      </c>
      <c r="B10" s="12" t="s">
        <v>200</v>
      </c>
      <c r="C10" s="6" t="s">
        <v>201</v>
      </c>
    </row>
    <row r="11" customFormat="false" ht="61.5" hidden="false" customHeight="true" outlineLevel="0" collapsed="false">
      <c r="A11" s="26" t="s">
        <v>202</v>
      </c>
      <c r="B11" s="12" t="s">
        <v>203</v>
      </c>
      <c r="C11" s="6" t="s">
        <v>204</v>
      </c>
    </row>
    <row r="12" customFormat="false" ht="61.5" hidden="false" customHeight="true" outlineLevel="0" collapsed="false">
      <c r="A12" s="26" t="s">
        <v>205</v>
      </c>
      <c r="B12" s="12" t="s">
        <v>206</v>
      </c>
      <c r="C12" s="6" t="s">
        <v>207</v>
      </c>
    </row>
    <row r="14" customFormat="false" ht="15" hidden="false" customHeight="false" outlineLevel="0" collapsed="false">
      <c r="A14" s="1" t="s">
        <v>208</v>
      </c>
    </row>
    <row r="15" customFormat="false" ht="33.75" hidden="false" customHeight="true" outlineLevel="0" collapsed="false">
      <c r="A15" s="28" t="s">
        <v>209</v>
      </c>
      <c r="B15" s="28"/>
      <c r="C15" s="28"/>
    </row>
    <row r="16" customFormat="false" ht="33.75" hidden="false" customHeight="true" outlineLevel="0" collapsed="false">
      <c r="A16" s="28" t="s">
        <v>210</v>
      </c>
      <c r="B16" s="28"/>
      <c r="C16" s="28"/>
    </row>
    <row r="17" customFormat="false" ht="33.75" hidden="false" customHeight="true" outlineLevel="0" collapsed="false">
      <c r="A17" s="28" t="s">
        <v>211</v>
      </c>
      <c r="B17" s="28"/>
      <c r="C17" s="28"/>
    </row>
    <row r="18" customFormat="false" ht="33.75" hidden="false" customHeight="true" outlineLevel="0" collapsed="false">
      <c r="A18" s="28" t="s">
        <v>212</v>
      </c>
      <c r="B18" s="28"/>
      <c r="C18" s="28"/>
    </row>
  </sheetData>
  <mergeCells count="4">
    <mergeCell ref="A15:C15"/>
    <mergeCell ref="A16:C16"/>
    <mergeCell ref="A17:C17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213</v>
      </c>
    </row>
    <row r="3" customFormat="false" ht="31.5" hidden="false" customHeight="true" outlineLevel="0" collapsed="false">
      <c r="A3" s="3" t="s">
        <v>89</v>
      </c>
      <c r="B3" s="3" t="s">
        <v>214</v>
      </c>
      <c r="C3" s="3" t="s">
        <v>215</v>
      </c>
    </row>
    <row r="4" customFormat="false" ht="49.5" hidden="false" customHeight="true" outlineLevel="0" collapsed="false">
      <c r="A4" s="26" t="s">
        <v>216</v>
      </c>
      <c r="B4" s="12" t="s">
        <v>217</v>
      </c>
      <c r="C4" s="29" t="s">
        <v>218</v>
      </c>
    </row>
    <row r="5" customFormat="false" ht="49.5" hidden="false" customHeight="true" outlineLevel="0" collapsed="false">
      <c r="A5" s="26" t="s">
        <v>219</v>
      </c>
      <c r="B5" s="12" t="s">
        <v>220</v>
      </c>
      <c r="C5" s="29" t="s">
        <v>221</v>
      </c>
    </row>
    <row r="6" customFormat="false" ht="49.5" hidden="false" customHeight="true" outlineLevel="0" collapsed="false">
      <c r="A6" s="26" t="s">
        <v>222</v>
      </c>
      <c r="B6" s="12" t="s">
        <v>223</v>
      </c>
      <c r="C6" s="29" t="s">
        <v>218</v>
      </c>
    </row>
    <row r="7" customFormat="false" ht="49.5" hidden="false" customHeight="true" outlineLevel="0" collapsed="false">
      <c r="A7" s="26" t="s">
        <v>224</v>
      </c>
      <c r="B7" s="12" t="s">
        <v>225</v>
      </c>
      <c r="C7" s="29" t="s">
        <v>226</v>
      </c>
    </row>
    <row r="8" customFormat="false" ht="49.5" hidden="false" customHeight="true" outlineLevel="0" collapsed="false">
      <c r="A8" s="26" t="s">
        <v>227</v>
      </c>
      <c r="B8" s="12" t="s">
        <v>228</v>
      </c>
      <c r="C8" s="29" t="s">
        <v>226</v>
      </c>
    </row>
    <row r="9" customFormat="false" ht="49.5" hidden="false" customHeight="true" outlineLevel="0" collapsed="false">
      <c r="A9" s="26" t="s">
        <v>229</v>
      </c>
      <c r="B9" s="12" t="s">
        <v>230</v>
      </c>
      <c r="C9" s="29" t="s">
        <v>231</v>
      </c>
    </row>
    <row r="10" customFormat="false" ht="49.5" hidden="false" customHeight="true" outlineLevel="0" collapsed="false">
      <c r="A10" s="26" t="s">
        <v>232</v>
      </c>
      <c r="B10" s="12" t="s">
        <v>233</v>
      </c>
      <c r="C10" s="29" t="s">
        <v>234</v>
      </c>
    </row>
    <row r="11" customFormat="false" ht="49.5" hidden="false" customHeight="true" outlineLevel="0" collapsed="false">
      <c r="A11" s="26" t="s">
        <v>235</v>
      </c>
      <c r="B11" s="12" t="s">
        <v>236</v>
      </c>
      <c r="C11" s="29" t="s">
        <v>237</v>
      </c>
    </row>
    <row r="12" customFormat="false" ht="49.5" hidden="false" customHeight="true" outlineLevel="0" collapsed="false">
      <c r="A12" s="26" t="s">
        <v>238</v>
      </c>
      <c r="B12" s="12" t="s">
        <v>239</v>
      </c>
      <c r="C12" s="29" t="s">
        <v>240</v>
      </c>
    </row>
    <row r="13" customFormat="false" ht="49.5" hidden="false" customHeight="true" outlineLevel="0" collapsed="false">
      <c r="A13" s="26" t="s">
        <v>241</v>
      </c>
      <c r="B13" s="12" t="s">
        <v>242</v>
      </c>
      <c r="C13" s="29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2026-09-29T20:34:41Z</dcterms:created>
  <dc:creator>openpyxl</dc:creator>
  <dc:description/>
  <dc:language>en-US</dc:language>
  <cp:lastModifiedBy/>
  <dcterms:modified xsi:type="dcterms:W3CDTF">2026-09-29T20:34:41Z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